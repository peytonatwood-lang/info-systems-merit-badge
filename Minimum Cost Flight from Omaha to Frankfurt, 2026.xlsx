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une-my.sharepoint.com/personal/andrew_langewisch_cune_edu/Documents/Documents/MgmtSci/Transportation/"/>
    </mc:Choice>
  </mc:AlternateContent>
  <xr:revisionPtr revIDLastSave="0" documentId="8_{A3A7414F-080F-4424-A34C-78AD266CA20F}" xr6:coauthVersionLast="47" xr6:coauthVersionMax="47" xr10:uidLastSave="{00000000-0000-0000-0000-000000000000}"/>
  <bookViews>
    <workbookView xWindow="-108" yWindow="-108" windowWidth="23256" windowHeight="12456" activeTab="1" xr2:uid="{3BDCE69D-A48E-4930-845B-44E4B69BD64D}"/>
  </bookViews>
  <sheets>
    <sheet name="Readme" sheetId="2" r:id="rId1"/>
    <sheet name="Model" sheetId="1" r:id="rId2"/>
  </sheets>
  <definedNames>
    <definedName name="solver_cvg" localSheetId="1" hidden="1">0.0001</definedName>
    <definedName name="solver_drv" localSheetId="1" hidden="1">1</definedName>
    <definedName name="solver_eng" localSheetId="1" hidden="1">2</definedName>
    <definedName name="solver_est" localSheetId="1" hidden="1">1</definedName>
    <definedName name="solver_itr" localSheetId="1" hidden="1">2147483647</definedName>
    <definedName name="solver_lhs1" localSheetId="1" hidden="1">Model!$B$13:$L$13</definedName>
    <definedName name="solver_lhs2" localSheetId="1" hidden="1">Model!$M$10</definedName>
    <definedName name="solver_lhs3" localSheetId="1" hidden="1">Model!$M$3:$M$8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0</definedName>
    <definedName name="solver_nwt" localSheetId="1" hidden="1">1</definedName>
    <definedName name="solver_pre" localSheetId="1" hidden="1">0.000001</definedName>
    <definedName name="solver_rbv" localSheetId="1" hidden="1">1</definedName>
    <definedName name="solver_rel1" localSheetId="1" hidden="1">5</definedName>
    <definedName name="solver_rel2" localSheetId="1" hidden="1">1</definedName>
    <definedName name="solver_rel3" localSheetId="1" hidden="1">2</definedName>
    <definedName name="solver_rhs1" localSheetId="1" hidden="1">"binary"</definedName>
    <definedName name="solver_rhs2" localSheetId="1" hidden="1">Model!$O$10</definedName>
    <definedName name="solver_rhs3" localSheetId="1" hidden="1">Model!$O$3:$O$8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1</definedName>
    <definedName name="solver_val" localSheetId="1" hidden="1">0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" i="1" l="1"/>
  <c r="M4" i="1"/>
  <c r="M11" i="1"/>
  <c r="M3" i="1"/>
</calcChain>
</file>

<file path=xl/sharedStrings.xml><?xml version="1.0" encoding="utf-8"?>
<sst xmlns="http://schemas.openxmlformats.org/spreadsheetml/2006/main" count="19" uniqueCount="18">
  <si>
    <t>relation</t>
  </si>
  <si>
    <t>RHS</t>
  </si>
  <si>
    <t>=</t>
  </si>
  <si>
    <t>sumproduct</t>
  </si>
  <si>
    <t>Decision variables</t>
  </si>
  <si>
    <r>
      <t>x</t>
    </r>
    <r>
      <rPr>
        <vertAlign val="subscript"/>
        <sz val="11"/>
        <color theme="1"/>
        <rFont val="Calibri"/>
        <family val="2"/>
        <scheme val="minor"/>
      </rPr>
      <t>OC</t>
    </r>
  </si>
  <si>
    <r>
      <t>x</t>
    </r>
    <r>
      <rPr>
        <vertAlign val="subscript"/>
        <sz val="11"/>
        <color theme="1"/>
        <rFont val="Calibri"/>
        <family val="2"/>
        <scheme val="minor"/>
      </rPr>
      <t>OD</t>
    </r>
  </si>
  <si>
    <r>
      <t>x</t>
    </r>
    <r>
      <rPr>
        <vertAlign val="subscript"/>
        <sz val="11"/>
        <color theme="1"/>
        <rFont val="Calibri"/>
        <family val="2"/>
        <scheme val="minor"/>
      </rPr>
      <t>ON</t>
    </r>
  </si>
  <si>
    <r>
      <t>x</t>
    </r>
    <r>
      <rPr>
        <vertAlign val="subscript"/>
        <sz val="11"/>
        <color theme="1"/>
        <rFont val="Calibri"/>
        <family val="2"/>
        <scheme val="minor"/>
      </rPr>
      <t>CN</t>
    </r>
  </si>
  <si>
    <r>
      <t>x</t>
    </r>
    <r>
      <rPr>
        <vertAlign val="subscript"/>
        <sz val="11"/>
        <color theme="1"/>
        <rFont val="Calibri"/>
        <family val="2"/>
        <scheme val="minor"/>
      </rPr>
      <t>CL</t>
    </r>
  </si>
  <si>
    <r>
      <t>x</t>
    </r>
    <r>
      <rPr>
        <vertAlign val="subscript"/>
        <sz val="11"/>
        <color theme="1"/>
        <rFont val="Calibri"/>
        <family val="2"/>
        <scheme val="minor"/>
      </rPr>
      <t>DL</t>
    </r>
  </si>
  <si>
    <r>
      <t>x</t>
    </r>
    <r>
      <rPr>
        <vertAlign val="subscript"/>
        <sz val="11"/>
        <color theme="1"/>
        <rFont val="Calibri"/>
        <family val="2"/>
        <scheme val="minor"/>
      </rPr>
      <t>DR</t>
    </r>
  </si>
  <si>
    <t>C1: plane must leave Omaha</t>
  </si>
  <si>
    <t>C2: flow in equals flow out at Chicago</t>
  </si>
  <si>
    <r>
      <t>x</t>
    </r>
    <r>
      <rPr>
        <vertAlign val="subscript"/>
        <sz val="11"/>
        <color theme="1"/>
        <rFont val="Calibri"/>
        <family val="2"/>
        <scheme val="minor"/>
      </rPr>
      <t>ij</t>
    </r>
    <r>
      <rPr>
        <sz val="11"/>
        <color theme="1"/>
        <rFont val="Calibri"/>
        <family val="2"/>
        <scheme val="minor"/>
      </rPr>
      <t xml:space="preserve"> = 1 if this segment is part of the route chosen, 0 otherwise</t>
    </r>
  </si>
  <si>
    <t>C8: total time</t>
  </si>
  <si>
    <t>&lt;=</t>
  </si>
  <si>
    <t>Obj function, min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</si>
</sst>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right"/>
    </xf>
    <xf numFmtId="0" fontId="0" fillId="0" borderId="0" xfId="0" quotePrefix="1" applyAlignment="1">
      <alignment horizontal="center"/>
    </xf>
    <xf numFmtId="0" fontId="0" fillId="2" borderId="0" xfId="0" applyFill="1"/>
    <xf numFmtId="0" fontId="0" fillId="0" borderId="0" xfId="0" applyAlignment="1">
      <alignment horizontal="right" indent="1"/>
    </xf>
    <xf numFmtId="1" fontId="0" fillId="0" borderId="0" xfId="0" applyNumberFormat="1"/>
    <xf numFmtId="0" fontId="0" fillId="0" borderId="0" xfId="0" applyAlignment="1">
      <alignment horizontal="center"/>
    </xf>
    <xf numFmtId="0" fontId="0" fillId="3" borderId="0" xfId="0" applyFill="1"/>
  </cellXfs>
  <cellStyles count="1">
    <cellStyle name="Normal" xfId="0" builtinId="0"/>
  </cellStyles>
  <dxfs count="3">
    <dxf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FFCC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466725</xdr:colOff>
      <xdr:row>1</xdr:row>
      <xdr:rowOff>19050</xdr:rowOff>
    </xdr:from>
    <xdr:to>
      <xdr:col>16</xdr:col>
      <xdr:colOff>57150</xdr:colOff>
      <xdr:row>21</xdr:row>
      <xdr:rowOff>95250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AE0DF51-CCFD-743B-8A3F-2AA8F83A8F3C}"/>
            </a:ext>
          </a:extLst>
        </xdr:cNvPr>
        <xdr:cNvSpPr txBox="1"/>
      </xdr:nvSpPr>
      <xdr:spPr>
        <a:xfrm>
          <a:off x="466725" y="200025"/>
          <a:ext cx="9344025" cy="36957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/>
            <a:t>xx</a:t>
          </a:r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383628</xdr:colOff>
      <xdr:row>40</xdr:row>
      <xdr:rowOff>136635</xdr:rowOff>
    </xdr:from>
    <xdr:to>
      <xdr:col>9</xdr:col>
      <xdr:colOff>336716</xdr:colOff>
      <xdr:row>59</xdr:row>
      <xdr:rowOff>19803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C416067-AB9E-6A04-0D13-C2E79073FF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3628" y="7141780"/>
          <a:ext cx="7674005" cy="3368332"/>
        </a:xfrm>
        <a:prstGeom prst="rect">
          <a:avLst/>
        </a:prstGeom>
      </xdr:spPr>
    </xdr:pic>
    <xdr:clientData/>
  </xdr:twoCellAnchor>
  <xdr:twoCellAnchor>
    <xdr:from>
      <xdr:col>0</xdr:col>
      <xdr:colOff>336771</xdr:colOff>
      <xdr:row>13</xdr:row>
      <xdr:rowOff>123906</xdr:rowOff>
    </xdr:from>
    <xdr:to>
      <xdr:col>2</xdr:col>
      <xdr:colOff>159026</xdr:colOff>
      <xdr:row>37</xdr:row>
      <xdr:rowOff>119270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6A5330D-3F6E-D5BC-8572-D73850376C46}"/>
            </a:ext>
          </a:extLst>
        </xdr:cNvPr>
        <xdr:cNvSpPr txBox="1"/>
      </xdr:nvSpPr>
      <xdr:spPr>
        <a:xfrm>
          <a:off x="336771" y="2562306"/>
          <a:ext cx="3267820" cy="4448094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/>
            <a:t>O:</a:t>
          </a:r>
          <a:r>
            <a:rPr lang="en-US" sz="1400" baseline="0"/>
            <a:t> Omaha</a:t>
          </a:r>
        </a:p>
        <a:p>
          <a:r>
            <a:rPr lang="en-US" sz="1400" baseline="0"/>
            <a:t>D: Denver</a:t>
          </a:r>
        </a:p>
        <a:p>
          <a:r>
            <a:rPr lang="en-US" sz="1400" baseline="0"/>
            <a:t>N: Newark</a:t>
          </a:r>
        </a:p>
        <a:p>
          <a:r>
            <a:rPr lang="en-US" sz="1400" baseline="0"/>
            <a:t>L: London</a:t>
          </a:r>
        </a:p>
        <a:p>
          <a:r>
            <a:rPr lang="en-US" sz="1400" baseline="0"/>
            <a:t>R: Reykjavik</a:t>
          </a:r>
        </a:p>
        <a:p>
          <a:r>
            <a:rPr lang="en-US" sz="1400" baseline="0"/>
            <a:t>F: Frankfurt</a:t>
          </a:r>
        </a:p>
        <a:p>
          <a:endParaRPr lang="en-US" sz="1400" baseline="0"/>
        </a:p>
        <a:p>
          <a:r>
            <a:rPr lang="en-US" sz="1400" baseline="0"/>
            <a:t>Add two more cities, one beginning with the first letter of your first name and one beginning with the first letter of your last name.</a:t>
          </a:r>
        </a:p>
        <a:p>
          <a:endParaRPr lang="en-US" sz="1400" baseline="0"/>
        </a:p>
        <a:p>
          <a:r>
            <a:rPr lang="en-US" sz="1400" baseline="0"/>
            <a:t>Incorporate these cities into your map and network.</a:t>
          </a:r>
        </a:p>
        <a:p>
          <a:endParaRPr lang="en-US" sz="1400" baseline="0"/>
        </a:p>
        <a:p>
          <a:r>
            <a:rPr lang="en-US" sz="1400" baseline="0"/>
            <a:t>Add at least 3 routes, with realistic one-way costs and times.  Look them up.</a:t>
          </a:r>
        </a:p>
        <a:p>
          <a:endParaRPr lang="en-US" sz="1400" baseline="0"/>
        </a:p>
        <a:p>
          <a:endParaRPr lang="en-US" sz="1100"/>
        </a:p>
      </xdr:txBody>
    </xdr:sp>
    <xdr:clientData/>
  </xdr:twoCellAnchor>
  <xdr:twoCellAnchor>
    <xdr:from>
      <xdr:col>3</xdr:col>
      <xdr:colOff>132522</xdr:colOff>
      <xdr:row>14</xdr:row>
      <xdr:rowOff>46384</xdr:rowOff>
    </xdr:from>
    <xdr:to>
      <xdr:col>12</xdr:col>
      <xdr:colOff>543339</xdr:colOff>
      <xdr:row>16</xdr:row>
      <xdr:rowOff>165653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F19A57B-F390-1A43-A754-8E625EB73C37}"/>
            </a:ext>
          </a:extLst>
        </xdr:cNvPr>
        <xdr:cNvSpPr txBox="1"/>
      </xdr:nvSpPr>
      <xdr:spPr>
        <a:xfrm>
          <a:off x="4187687" y="2670314"/>
          <a:ext cx="5897217" cy="49033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Interpretation: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B39BF-050A-4F4F-AE2F-5FDC448CCA6C}">
  <dimension ref="A1"/>
  <sheetViews>
    <sheetView showGridLines="0" workbookViewId="0">
      <selection activeCell="G31" sqref="F31:G31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5826A-2CE1-40E8-9BDB-0F133C405CBA}">
  <dimension ref="A1:O13"/>
  <sheetViews>
    <sheetView tabSelected="1" zoomScale="115" zoomScaleNormal="115" workbookViewId="0">
      <selection activeCell="G20" sqref="G20"/>
    </sheetView>
  </sheetViews>
  <sheetFormatPr defaultRowHeight="14.4" x14ac:dyDescent="0.3"/>
  <cols>
    <col min="1" max="1" width="41.33203125" customWidth="1"/>
    <col min="13" max="13" width="12" customWidth="1"/>
  </cols>
  <sheetData>
    <row r="1" spans="1:15" ht="15.6" x14ac:dyDescent="0.35">
      <c r="B1" s="6" t="s">
        <v>14</v>
      </c>
      <c r="C1" s="6"/>
      <c r="D1" s="6"/>
      <c r="E1" s="6"/>
      <c r="F1" s="6"/>
      <c r="G1" s="6"/>
      <c r="H1" s="6"/>
      <c r="I1" s="6"/>
      <c r="J1" s="6"/>
      <c r="K1" s="6"/>
      <c r="L1" s="6"/>
    </row>
    <row r="2" spans="1:15" ht="15.6" x14ac:dyDescent="0.35"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/>
      <c r="J2" s="1"/>
      <c r="K2" s="1"/>
      <c r="L2" s="1"/>
      <c r="M2" s="1" t="s">
        <v>3</v>
      </c>
      <c r="N2" t="s">
        <v>0</v>
      </c>
      <c r="O2" s="4" t="s">
        <v>1</v>
      </c>
    </row>
    <row r="3" spans="1:15" x14ac:dyDescent="0.3">
      <c r="A3" t="s">
        <v>12</v>
      </c>
      <c r="M3">
        <f>SUMPRODUCT(B3:L3,B$13:L$13)</f>
        <v>0</v>
      </c>
      <c r="N3" s="2" t="s">
        <v>2</v>
      </c>
      <c r="O3">
        <v>1</v>
      </c>
    </row>
    <row r="4" spans="1:15" x14ac:dyDescent="0.3">
      <c r="A4" t="s">
        <v>13</v>
      </c>
      <c r="M4">
        <f>SUMPRODUCT(B4:L4,B$13:L$13)</f>
        <v>0</v>
      </c>
      <c r="N4" s="2" t="s">
        <v>2</v>
      </c>
      <c r="O4">
        <v>0</v>
      </c>
    </row>
    <row r="5" spans="1:15" x14ac:dyDescent="0.3">
      <c r="N5" s="2"/>
    </row>
    <row r="6" spans="1:15" x14ac:dyDescent="0.3">
      <c r="N6" s="2"/>
    </row>
    <row r="7" spans="1:15" x14ac:dyDescent="0.3">
      <c r="N7" s="2"/>
    </row>
    <row r="8" spans="1:15" x14ac:dyDescent="0.3">
      <c r="N8" s="2"/>
    </row>
    <row r="9" spans="1:15" x14ac:dyDescent="0.3">
      <c r="N9" s="2"/>
    </row>
    <row r="10" spans="1:15" x14ac:dyDescent="0.3">
      <c r="A10" t="s">
        <v>15</v>
      </c>
      <c r="M10">
        <f>SUMPRODUCT(B10:L10,B$13:L$13)</f>
        <v>0</v>
      </c>
      <c r="N10" s="2" t="s">
        <v>16</v>
      </c>
      <c r="O10">
        <v>48</v>
      </c>
    </row>
    <row r="11" spans="1:15" x14ac:dyDescent="0.3">
      <c r="A11" t="s">
        <v>17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7">
        <f>SUMPRODUCT(B11:L11,B$13:L$13)</f>
        <v>0</v>
      </c>
    </row>
    <row r="13" spans="1:15" x14ac:dyDescent="0.3">
      <c r="A13" t="s">
        <v>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</sheetData>
  <mergeCells count="1">
    <mergeCell ref="B1:L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Langewisch,Andrew</dc:creator>
  <cp:lastModifiedBy>Langewisch,Andrew</cp:lastModifiedBy>
  <dcterms:created xsi:type="dcterms:W3CDTF">2023-03-03T16:45:41Z</dcterms:created>
  <dcterms:modified xsi:type="dcterms:W3CDTF">2026-02-20T15:58:32Z</dcterms:modified>
</cp:coreProperties>
</file>